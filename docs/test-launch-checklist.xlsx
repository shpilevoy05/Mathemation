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к-лист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'Чек-лист'!$A$4:$J$67</definedName>
    <definedName name="_xlnm.Print_Titles" localSheetId="0">'Чек-лист'!$4:$4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A55"/>
      <sz val="15"/>
    </font>
    <font>
      <name val="Arial"/>
      <color rgb="00555B70"/>
      <sz val="10"/>
    </font>
    <font>
      <name val="Arial"/>
      <b val="1"/>
    </font>
    <font>
      <name val="Arial"/>
      <b val="1"/>
      <color rgb="001F2A55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sz val="14"/>
    </font>
    <font>
      <name val="Arial"/>
      <b val="1"/>
      <color rgb="001F2A55"/>
      <sz val="14"/>
    </font>
    <font>
      <name val="Arial"/>
    </font>
    <font>
      <name val="Arial"/>
      <i val="1"/>
      <color rgb="00555B70"/>
      <sz val="9"/>
    </font>
  </fonts>
  <fills count="9">
    <fill>
      <patternFill/>
    </fill>
    <fill>
      <patternFill patternType="gray125"/>
    </fill>
    <fill>
      <patternFill patternType="solid">
        <fgColor rgb="001F2A55"/>
      </patternFill>
    </fill>
    <fill>
      <patternFill patternType="solid">
        <fgColor rgb="00FFF6CC"/>
      </patternFill>
    </fill>
    <fill>
      <patternFill patternType="solid">
        <fgColor rgb="00EEF2FF"/>
      </patternFill>
    </fill>
    <fill>
      <patternFill patternType="solid">
        <fgColor rgb="00EAF7F1"/>
      </patternFill>
    </fill>
    <fill>
      <patternFill patternType="solid">
        <fgColor rgb="00FFF3E8"/>
      </patternFill>
    </fill>
    <fill>
      <patternFill patternType="solid">
        <fgColor rgb="00F3EE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E2"/>
      </left>
      <right style="thin">
        <color rgb="00D0D5E2"/>
      </right>
      <top style="thin">
        <color rgb="00D0D5E2"/>
      </top>
      <bottom style="thin">
        <color rgb="00D0D5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9" fillId="0" borderId="0" pivotButton="0" quotePrefix="0" xfId="0"/>
    <xf numFmtId="0" fontId="5" fillId="2" borderId="1" pivotButton="0" quotePrefix="0" xfId="0"/>
    <xf numFmtId="0" fontId="10" fillId="0" borderId="1" pivotButton="0" quotePrefix="0" xfId="0"/>
    <xf numFmtId="9" fontId="10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name val="Arial"/>
        <strike val="1"/>
        <color rgb="009AA0B4"/>
      </font>
      <fill>
        <patternFill patternType="solid">
          <fgColor rgb="00EDF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  <col width="44" customWidth="1" min="5" max="5"/>
    <col width="60" customWidth="1" min="6" max="6"/>
    <col width="36" customWidth="1" min="7" max="7"/>
    <col width="20" customWidth="1" min="8" max="8"/>
    <col width="12" customWidth="1" min="9" max="9"/>
    <col width="30" customWidth="1" min="10" max="10"/>
  </cols>
  <sheetData>
    <row r="1">
      <c r="A1" s="1" t="inlineStr">
        <is>
          <t>Матемация — что сделать к тестовому запуску</t>
        </is>
      </c>
    </row>
    <row r="2" ht="30" customHeight="1">
      <c r="A2" s="2" t="inlineStr">
        <is>
          <t>Отмечайте выполненное в столбце «Готово»: выберите ☑ из списка — строка станет серой. Жёлтые столбцы «Готово», «Кто» и «Комментарий» — для заполнения. Фильтры — в строке заголовков.</t>
        </is>
      </c>
    </row>
    <row r="3">
      <c r="A3" s="3" t="inlineStr">
        <is>
          <t>Готово:</t>
        </is>
      </c>
      <c r="C3" s="4">
        <f>COUNTIF(B5:B67,"☑")&amp;" из "&amp;COUNTA(E5:E67)</f>
        <v/>
      </c>
      <c r="D3" s="5">
        <f>IFERROR(COUNTIF(B5:B67,"☑")/COUNTA(E5:E67),0)</f>
        <v/>
      </c>
    </row>
    <row r="4" ht="22" customHeight="1">
      <c r="A4" s="6" t="inlineStr">
        <is>
          <t>№</t>
        </is>
      </c>
      <c r="B4" s="6" t="inlineStr">
        <is>
          <t>Готово</t>
        </is>
      </c>
      <c r="C4" s="6" t="inlineStr">
        <is>
          <t>Этап</t>
        </is>
      </c>
      <c r="D4" s="6" t="inlineStr">
        <is>
          <t>Блок</t>
        </is>
      </c>
      <c r="E4" s="6" t="inlineStr">
        <is>
          <t>Действие</t>
        </is>
      </c>
      <c r="F4" s="6" t="inlineStr">
        <is>
          <t>Как и где</t>
        </is>
      </c>
      <c r="G4" s="6" t="inlineStr">
        <is>
          <t>Что передать Claude</t>
        </is>
      </c>
      <c r="H4" s="6" t="inlineStr">
        <is>
          <t>Срок</t>
        </is>
      </c>
      <c r="I4" s="6" t="inlineStr">
        <is>
          <t>Кто</t>
        </is>
      </c>
      <c r="J4" s="6" t="inlineStr">
        <is>
          <t>Комментарий</t>
        </is>
      </c>
    </row>
    <row r="5">
      <c r="A5" s="7" t="n">
        <v>1</v>
      </c>
      <c r="B5" s="8" t="inlineStr">
        <is>
          <t>☐</t>
        </is>
      </c>
      <c r="C5" s="9" t="inlineStr">
        <is>
          <t>1. До выкладки</t>
        </is>
      </c>
      <c r="D5" s="10" t="inlineStr">
        <is>
          <t>Безопасность</t>
        </is>
      </c>
      <c r="E5" s="11" t="inlineStr">
        <is>
          <t>Перевыпустить токен бота: он был отправлен в чат</t>
        </is>
      </c>
      <c r="F5" s="10" t="inlineStr">
        <is>
          <t>@BotFather → /revoke → выбрать @content_mathemation_bot. Новый токен вписать в строку SOCIAL_AGENT_TELEGRAM_BOT_TOKEN в .env и .env.production</t>
        </is>
      </c>
      <c r="G5" s="10" t="inlineStr">
        <is>
          <t>Написать «токен заменён» (сам токен не присылать)</t>
        </is>
      </c>
      <c r="H5" s="10" t="inlineStr">
        <is>
          <t>сейчас</t>
        </is>
      </c>
      <c r="I5" s="12" t="inlineStr"/>
      <c r="J5" s="12" t="inlineStr"/>
    </row>
    <row r="6">
      <c r="A6" s="7" t="n">
        <v>2</v>
      </c>
      <c r="B6" s="8" t="inlineStr">
        <is>
          <t>☐</t>
        </is>
      </c>
      <c r="C6" s="9" t="inlineStr">
        <is>
          <t>1. До выкладки</t>
        </is>
      </c>
      <c r="D6" s="10" t="inlineStr">
        <is>
          <t>Безопасность</t>
        </is>
      </c>
      <c r="E6" s="11" t="inlineStr">
        <is>
          <t>Секреты — только в файлы .env и .env.production, не в чат</t>
        </is>
      </c>
      <c r="F6" s="10" t="inlineStr">
        <is>
          <t>Файлы в корне C:\Dev\Mathemation, в git не попадают</t>
        </is>
      </c>
      <c r="G6" s="10" t="inlineStr">
        <is>
          <t>—</t>
        </is>
      </c>
      <c r="H6" s="10" t="inlineStr">
        <is>
          <t>постоянно</t>
        </is>
      </c>
      <c r="I6" s="12" t="inlineStr"/>
      <c r="J6" s="12" t="inlineStr"/>
    </row>
    <row r="7">
      <c r="A7" s="7" t="n">
        <v>3</v>
      </c>
      <c r="B7" s="8" t="inlineStr">
        <is>
          <t>☐</t>
        </is>
      </c>
      <c r="C7" s="9" t="inlineStr">
        <is>
          <t>1. До выкладки</t>
        </is>
      </c>
      <c r="D7" s="10" t="inlineStr">
        <is>
          <t>DeepSeek</t>
        </is>
      </c>
      <c r="E7" s="11" t="inlineStr">
        <is>
          <t>Пополнить баланс DeepSeek на $10–20</t>
        </is>
      </c>
      <c r="F7" s="10" t="inlineStr">
        <is>
          <t>platform.deepseek.com → Top up. Сейчас баланс $0 — наставник и контентолог работают на шаблонах</t>
        </is>
      </c>
      <c r="G7" s="10" t="inlineStr">
        <is>
          <t>Сообщить «пополнено» — Claude проверит живую подсказку и лимит токенов</t>
        </is>
      </c>
      <c r="H7" s="10" t="inlineStr">
        <is>
          <t>до выкладки</t>
        </is>
      </c>
      <c r="I7" s="12" t="inlineStr"/>
      <c r="J7" s="12" t="inlineStr"/>
    </row>
    <row r="8">
      <c r="A8" s="7" t="n">
        <v>4</v>
      </c>
      <c r="B8" s="8" t="inlineStr">
        <is>
          <t>☐</t>
        </is>
      </c>
      <c r="C8" s="9" t="inlineStr">
        <is>
          <t>1. До выкладки</t>
        </is>
      </c>
      <c r="D8" s="10" t="inlineStr">
        <is>
          <t>DeepSeek</t>
        </is>
      </c>
      <c r="E8" s="11" t="inlineStr">
        <is>
          <t>Решить дневной лимит подсказок на ученика</t>
        </is>
      </c>
      <c r="F8" s="10" t="inlineStr">
        <is>
          <t>Сейчас 20 в день (AI_MENTOR_DAILY_HINT_LIMIT)</t>
        </is>
      </c>
      <c r="G8" s="10" t="inlineStr">
        <is>
          <t>Число</t>
        </is>
      </c>
      <c r="H8" s="10" t="inlineStr">
        <is>
          <t>до выкладки</t>
        </is>
      </c>
      <c r="I8" s="12" t="inlineStr"/>
      <c r="J8" s="12" t="inlineStr"/>
    </row>
    <row r="9">
      <c r="A9" s="7" t="n">
        <v>5</v>
      </c>
      <c r="B9" s="8" t="inlineStr">
        <is>
          <t>☐</t>
        </is>
      </c>
      <c r="C9" s="9" t="inlineStr">
        <is>
          <t>1. До выкладки</t>
        </is>
      </c>
      <c r="D9" s="10" t="inlineStr">
        <is>
          <t>TimeWeb</t>
        </is>
      </c>
      <c r="E9" s="11" t="inlineStr">
        <is>
          <t>Завести аккаунт организации или ИП и пополнить баланс</t>
        </is>
      </c>
      <c r="F9" s="10" t="inlineStr">
        <is>
          <t>timeweb.cloud — юрлицо/ИП: договор и закрывающие документы, это нужно и для 152-ФЗ</t>
        </is>
      </c>
      <c r="G9" s="10" t="inlineStr">
        <is>
          <t>—</t>
        </is>
      </c>
      <c r="H9" s="10" t="inlineStr">
        <is>
          <t>до выкладки</t>
        </is>
      </c>
      <c r="I9" s="12" t="inlineStr"/>
      <c r="J9" s="12" t="inlineStr"/>
    </row>
    <row r="10">
      <c r="A10" s="7" t="n">
        <v>6</v>
      </c>
      <c r="B10" s="8" t="inlineStr">
        <is>
          <t>☐</t>
        </is>
      </c>
      <c r="C10" s="9" t="inlineStr">
        <is>
          <t>1. До выкладки</t>
        </is>
      </c>
      <c r="D10" s="10" t="inlineStr">
        <is>
          <t>TimeWeb</t>
        </is>
      </c>
      <c r="E10" s="11" t="inlineStr">
        <is>
          <t>Включить двухфакторный вход в аккаунт TimeWeb</t>
        </is>
      </c>
      <c r="F10" s="10" t="inlineStr">
        <is>
          <t>Настройки профиля → безопасность</t>
        </is>
      </c>
      <c r="G10" s="10" t="inlineStr">
        <is>
          <t>—</t>
        </is>
      </c>
      <c r="H10" s="10" t="inlineStr">
        <is>
          <t>до выкладки</t>
        </is>
      </c>
      <c r="I10" s="12" t="inlineStr"/>
      <c r="J10" s="12" t="inlineStr"/>
    </row>
    <row r="11">
      <c r="A11" s="7" t="n">
        <v>7</v>
      </c>
      <c r="B11" s="8" t="inlineStr">
        <is>
          <t>☐</t>
        </is>
      </c>
      <c r="C11" s="9" t="inlineStr">
        <is>
          <t>1. До выкладки</t>
        </is>
      </c>
      <c r="D11" s="10" t="inlineStr">
        <is>
          <t>TimeWeb</t>
        </is>
      </c>
      <c r="E11" s="11" t="inlineStr">
        <is>
          <t>Все ресурсы создавать в одном регионе: Москва или Санкт-Петербург</t>
        </is>
      </c>
      <c r="F11" s="10" t="inlineStr">
        <is>
          <t>Не Нидерланды: данные учеников по 152-ФЗ хранятся в РФ</t>
        </is>
      </c>
      <c r="G11" s="10" t="inlineStr">
        <is>
          <t>—</t>
        </is>
      </c>
      <c r="H11" s="10" t="inlineStr">
        <is>
          <t>до выкладки</t>
        </is>
      </c>
      <c r="I11" s="12" t="inlineStr"/>
      <c r="J11" s="12" t="inlineStr"/>
    </row>
    <row r="12">
      <c r="A12" s="7" t="n">
        <v>8</v>
      </c>
      <c r="B12" s="8" t="inlineStr">
        <is>
          <t>☐</t>
        </is>
      </c>
      <c r="C12" s="9" t="inlineStr">
        <is>
          <t>1. До выкладки</t>
        </is>
      </c>
      <c r="D12" s="10" t="inlineStr">
        <is>
          <t>TimeWeb</t>
        </is>
      </c>
      <c r="E12" s="11" t="inlineStr">
        <is>
          <t>Создать приватную сеть matemacia-net</t>
        </is>
      </c>
      <c r="F12" s="10" t="inlineStr">
        <is>
          <t>Раздел «Сети». В неё — сервер, PostgreSQL и Redis</t>
        </is>
      </c>
      <c r="G12" s="10" t="inlineStr">
        <is>
          <t>—</t>
        </is>
      </c>
      <c r="H12" s="10" t="inlineStr">
        <is>
          <t>до выкладки</t>
        </is>
      </c>
      <c r="I12" s="12" t="inlineStr"/>
      <c r="J12" s="12" t="inlineStr"/>
    </row>
    <row r="13">
      <c r="A13" s="7" t="n">
        <v>9</v>
      </c>
      <c r="B13" s="8" t="inlineStr">
        <is>
          <t>☐</t>
        </is>
      </c>
      <c r="C13" s="9" t="inlineStr">
        <is>
          <t>1. До выкладки</t>
        </is>
      </c>
      <c r="D13" s="10" t="inlineStr">
        <is>
          <t>TimeWeb</t>
        </is>
      </c>
      <c r="E13" s="11" t="inlineStr">
        <is>
          <t>Создать облачный сервер</t>
        </is>
      </c>
      <c r="F13" s="10" t="inlineStr">
        <is>
          <t>Ubuntu 24.04; 2 vCPU, 4 ГБ RAM, 50 ГБ NVMe; публичный IPv4; сеть matemacia-net; доступ по SSH-ключу matemacia-deploy (C:\Users\User\.ssh\matemacia_timeweb.pub), не по паролю</t>
        </is>
      </c>
      <c r="G13" s="10" t="inlineStr">
        <is>
          <t>IP сервера</t>
        </is>
      </c>
      <c r="H13" s="10" t="inlineStr">
        <is>
          <t>до выкладки</t>
        </is>
      </c>
      <c r="I13" s="12" t="inlineStr"/>
      <c r="J13" s="12" t="inlineStr"/>
    </row>
    <row r="14">
      <c r="A14" s="7" t="n">
        <v>10</v>
      </c>
      <c r="B14" s="8" t="inlineStr">
        <is>
          <t>☐</t>
        </is>
      </c>
      <c r="C14" s="9" t="inlineStr">
        <is>
          <t>1. До выкладки</t>
        </is>
      </c>
      <c r="D14" s="10" t="inlineStr">
        <is>
          <t>TimeWeb</t>
        </is>
      </c>
      <c r="E14" s="11" t="inlineStr">
        <is>
          <t>Настроить firewall и привязать к серверу</t>
        </is>
      </c>
      <c r="F14" s="10" t="inlineStr">
        <is>
          <t>Раздел «Firewall»: входящие 22, 80, 443 — разрешить, остальное запретить. Порт 22 — только со своего IP, если он статический</t>
        </is>
      </c>
      <c r="G14" s="10" t="inlineStr">
        <is>
          <t>—</t>
        </is>
      </c>
      <c r="H14" s="10" t="inlineStr">
        <is>
          <t>до выкладки</t>
        </is>
      </c>
      <c r="I14" s="12" t="inlineStr"/>
      <c r="J14" s="12" t="inlineStr"/>
    </row>
    <row r="15">
      <c r="A15" s="7" t="n">
        <v>11</v>
      </c>
      <c r="B15" s="8" t="inlineStr">
        <is>
          <t>☐</t>
        </is>
      </c>
      <c r="C15" s="9" t="inlineStr">
        <is>
          <t>1. До выкладки</t>
        </is>
      </c>
      <c r="D15" s="10" t="inlineStr">
        <is>
          <t>TimeWeb</t>
        </is>
      </c>
      <c r="E15" s="11" t="inlineStr">
        <is>
          <t>Создать PostgreSQL 16</t>
        </is>
      </c>
      <c r="F15" s="10" t="inlineStr">
        <is>
          <t>«Базы данных» → PostgreSQL 16, минимальная конфигурация, сеть matemacia-net, без публичного IP, база и пользователь matemacia, длинный пароль, автобэкапы включить</t>
        </is>
      </c>
      <c r="G15" s="10" t="inlineStr">
        <is>
          <t>Вписать POSTGRES_HOST (приватный адрес) и POSTGRES_PASSWORD в .env.production</t>
        </is>
      </c>
      <c r="H15" s="10" t="inlineStr">
        <is>
          <t>до выкладки</t>
        </is>
      </c>
      <c r="I15" s="12" t="inlineStr"/>
      <c r="J15" s="12" t="inlineStr"/>
    </row>
    <row r="16">
      <c r="A16" s="7" t="n">
        <v>12</v>
      </c>
      <c r="B16" s="8" t="inlineStr">
        <is>
          <t>☐</t>
        </is>
      </c>
      <c r="C16" s="9" t="inlineStr">
        <is>
          <t>1. До выкладки</t>
        </is>
      </c>
      <c r="D16" s="10" t="inlineStr">
        <is>
          <t>TimeWeb</t>
        </is>
      </c>
      <c r="E16" s="11" t="inlineStr">
        <is>
          <t>Скачать корневой сертификат базы</t>
        </is>
      </c>
      <c r="F16" s="10" t="inlineStr">
        <is>
          <t>Карточка базы → подключение → сертификат. Положить в infra\production\certs\db-root.crt</t>
        </is>
      </c>
      <c r="G16" s="10" t="inlineStr">
        <is>
          <t>Сообщить «сертификат положен»</t>
        </is>
      </c>
      <c r="H16" s="10" t="inlineStr">
        <is>
          <t>до выкладки</t>
        </is>
      </c>
      <c r="I16" s="12" t="inlineStr"/>
      <c r="J16" s="12" t="inlineStr"/>
    </row>
    <row r="17">
      <c r="A17" s="7" t="n">
        <v>13</v>
      </c>
      <c r="B17" s="8" t="inlineStr">
        <is>
          <t>☐</t>
        </is>
      </c>
      <c r="C17" s="9" t="inlineStr">
        <is>
          <t>1. До выкладки</t>
        </is>
      </c>
      <c r="D17" s="10" t="inlineStr">
        <is>
          <t>TimeWeb</t>
        </is>
      </c>
      <c r="E17" s="11" t="inlineStr">
        <is>
          <t>Создать Redis 7</t>
        </is>
      </c>
      <c r="F17" s="10" t="inlineStr">
        <is>
          <t>«Базы данных» → Redis 7, минимальная конфигурация, сеть matemacia-net, без публичного IP, с паролем</t>
        </is>
      </c>
      <c r="G17" s="10" t="inlineStr">
        <is>
          <t>Вписать REDIS_URL=redis://:пароль@приватный-адрес:6379/0 в .env.production</t>
        </is>
      </c>
      <c r="H17" s="10" t="inlineStr">
        <is>
          <t>до выкладки</t>
        </is>
      </c>
      <c r="I17" s="12" t="inlineStr"/>
      <c r="J17" s="12" t="inlineStr"/>
    </row>
    <row r="18">
      <c r="A18" s="7" t="n">
        <v>14</v>
      </c>
      <c r="B18" s="8" t="inlineStr">
        <is>
          <t>☐</t>
        </is>
      </c>
      <c r="C18" s="9" t="inlineStr">
        <is>
          <t>1. До выкладки</t>
        </is>
      </c>
      <c r="D18" s="10" t="inlineStr">
        <is>
          <t>TimeWeb</t>
        </is>
      </c>
      <c r="E18" s="11" t="inlineStr">
        <is>
          <t>Создать S3-хранилище для копий бэкапов</t>
        </is>
      </c>
      <c r="F18" s="10" t="inlineStr">
        <is>
          <t>«Хранилище S3» → приватный бакет matemacia-backups → ключ доступа</t>
        </is>
      </c>
      <c r="G18" s="10" t="inlineStr">
        <is>
          <t>Адрес хранилища, бакет и ключи — в конец .env.production; Claude написать «S3 готов»</t>
        </is>
      </c>
      <c r="H18" s="10" t="inlineStr">
        <is>
          <t>до выкладки</t>
        </is>
      </c>
      <c r="I18" s="12" t="inlineStr"/>
      <c r="J18" s="12" t="inlineStr"/>
    </row>
    <row r="19">
      <c r="A19" s="7" t="n">
        <v>15</v>
      </c>
      <c r="B19" s="8" t="inlineStr">
        <is>
          <t>☐</t>
        </is>
      </c>
      <c r="C19" s="9" t="inlineStr">
        <is>
          <t>1. До выкладки</t>
        </is>
      </c>
      <c r="D19" s="10" t="inlineStr">
        <is>
          <t>TimeWeb</t>
        </is>
      </c>
      <c r="E19" s="11" t="inlineStr">
        <is>
          <t>Зарегистрировать или перенести домен</t>
        </is>
      </c>
      <c r="F19" s="10" t="inlineStr">
        <is>
          <t>Раздел «Домены», например matemacia.ru</t>
        </is>
      </c>
      <c r="G19" s="10" t="inlineStr">
        <is>
          <t>Имя домена</t>
        </is>
      </c>
      <c r="H19" s="10" t="inlineStr">
        <is>
          <t>до выкладки</t>
        </is>
      </c>
      <c r="I19" s="12" t="inlineStr"/>
      <c r="J19" s="12" t="inlineStr"/>
    </row>
    <row r="20">
      <c r="A20" s="7" t="n">
        <v>16</v>
      </c>
      <c r="B20" s="8" t="inlineStr">
        <is>
          <t>☐</t>
        </is>
      </c>
      <c r="C20" s="9" t="inlineStr">
        <is>
          <t>1. До выкладки</t>
        </is>
      </c>
      <c r="D20" s="10" t="inlineStr">
        <is>
          <t>TimeWeb</t>
        </is>
      </c>
      <c r="E20" s="11" t="inlineStr">
        <is>
          <t>Направить домен на сервер</t>
        </is>
      </c>
      <c r="F20" s="10" t="inlineStr">
        <is>
          <t>DNS домена: A-записи @ и www → IP сервера</t>
        </is>
      </c>
      <c r="G20" s="10" t="inlineStr">
        <is>
          <t>—</t>
        </is>
      </c>
      <c r="H20" s="10" t="inlineStr">
        <is>
          <t>до выкладки</t>
        </is>
      </c>
      <c r="I20" s="12" t="inlineStr"/>
      <c r="J20" s="12" t="inlineStr"/>
    </row>
    <row r="21">
      <c r="A21" s="7" t="n">
        <v>17</v>
      </c>
      <c r="B21" s="8" t="inlineStr">
        <is>
          <t>☐</t>
        </is>
      </c>
      <c r="C21" s="9" t="inlineStr">
        <is>
          <t>1. До выкладки</t>
        </is>
      </c>
      <c r="D21" s="10" t="inlineStr">
        <is>
          <t>TimeWeb</t>
        </is>
      </c>
      <c r="E21" s="11" t="inlineStr">
        <is>
          <t>Вписать домен и почту для ошибок в .env.production</t>
        </is>
      </c>
      <c r="F21" s="10" t="inlineStr">
        <is>
          <t>Строки DJANGO_ALLOWED_HOSTS, DJANGO_CSRF_TRUSTED_ORIGINS, DJANGO_ADMINS</t>
        </is>
      </c>
      <c r="G21" s="10" t="inlineStr">
        <is>
          <t>—</t>
        </is>
      </c>
      <c r="H21" s="10" t="inlineStr">
        <is>
          <t>до выкладки</t>
        </is>
      </c>
      <c r="I21" s="12" t="inlineStr"/>
      <c r="J21" s="12" t="inlineStr"/>
    </row>
    <row r="22">
      <c r="A22" s="7" t="n">
        <v>18</v>
      </c>
      <c r="B22" s="8" t="inlineStr">
        <is>
          <t>☐</t>
        </is>
      </c>
      <c r="C22" s="9" t="inlineStr">
        <is>
          <t>1. До выкладки</t>
        </is>
      </c>
      <c r="D22" s="10" t="inlineStr">
        <is>
          <t>TimeWeb</t>
        </is>
      </c>
      <c r="E22" s="11" t="inlineStr">
        <is>
          <t>Сообщить Claude «TimeWeb готов»</t>
        </is>
      </c>
      <c r="F22" s="10" t="inlineStr">
        <is>
          <t>Дальше выкладку делает Claude: сервер, HTTPS, бэкапы в S3, мониторинг</t>
        </is>
      </c>
      <c r="G22" s="10" t="inlineStr">
        <is>
          <t>IP сервера + «готово»</t>
        </is>
      </c>
      <c r="H22" s="10" t="inlineStr">
        <is>
          <t>до выкладки</t>
        </is>
      </c>
      <c r="I22" s="12" t="inlineStr"/>
      <c r="J22" s="12" t="inlineStr"/>
    </row>
    <row r="23">
      <c r="A23" s="7" t="n">
        <v>19</v>
      </c>
      <c r="B23" s="8" t="inlineStr">
        <is>
          <t>☐</t>
        </is>
      </c>
      <c r="C23" s="9" t="inlineStr">
        <is>
          <t>1. До выкладки</t>
        </is>
      </c>
      <c r="D23" s="10" t="inlineStr">
        <is>
          <t>Почта</t>
        </is>
      </c>
      <c r="E23" s="11" t="inlineStr">
        <is>
          <t>Выбрать почтового провайдера</t>
        </is>
      </c>
      <c r="F23" s="10" t="inlineStr">
        <is>
          <t>Почта TimeWeb, Яндекс 360 для бизнеса или VK WorkSpace — нужен обычный SMTP</t>
        </is>
      </c>
      <c r="G23" s="10" t="inlineStr">
        <is>
          <t>Название</t>
        </is>
      </c>
      <c r="H23" s="10" t="inlineStr">
        <is>
          <t>до запуска группы</t>
        </is>
      </c>
      <c r="I23" s="12" t="inlineStr"/>
      <c r="J23" s="12" t="inlineStr"/>
    </row>
    <row r="24">
      <c r="A24" s="7" t="n">
        <v>20</v>
      </c>
      <c r="B24" s="8" t="inlineStr">
        <is>
          <t>☐</t>
        </is>
      </c>
      <c r="C24" s="9" t="inlineStr">
        <is>
          <t>1. До выкладки</t>
        </is>
      </c>
      <c r="D24" s="10" t="inlineStr">
        <is>
          <t>Почта</t>
        </is>
      </c>
      <c r="E24" s="11" t="inlineStr">
        <is>
          <t>Создать ящики noreply@ и errors@ на домене</t>
        </is>
      </c>
      <c r="F24" s="10" t="inlineStr">
        <is>
          <t>В кабинете почтового провайдера</t>
        </is>
      </c>
      <c r="G24" s="10" t="inlineStr">
        <is>
          <t>—</t>
        </is>
      </c>
      <c r="H24" s="10" t="inlineStr">
        <is>
          <t>до запуска группы</t>
        </is>
      </c>
      <c r="I24" s="12" t="inlineStr"/>
      <c r="J24" s="12" t="inlineStr"/>
    </row>
    <row r="25">
      <c r="A25" s="7" t="n">
        <v>21</v>
      </c>
      <c r="B25" s="8" t="inlineStr">
        <is>
          <t>☐</t>
        </is>
      </c>
      <c r="C25" s="9" t="inlineStr">
        <is>
          <t>1. До выкладки</t>
        </is>
      </c>
      <c r="D25" s="10" t="inlineStr">
        <is>
          <t>Почта</t>
        </is>
      </c>
      <c r="E25" s="11" t="inlineStr">
        <is>
          <t>Вписать SMTP в .env.production</t>
        </is>
      </c>
      <c r="F25" s="10" t="inlineStr">
        <is>
          <t>EMAIL_HOST, EMAIL_PORT, EMAIL_HOST_USER, EMAIL_HOST_PASSWORD, DEFAULT_FROM_EMAIL, SERVER_EMAIL</t>
        </is>
      </c>
      <c r="G25" s="10" t="inlineStr">
        <is>
          <t>Сообщить «почта вписана»</t>
        </is>
      </c>
      <c r="H25" s="10" t="inlineStr">
        <is>
          <t>до запуска группы</t>
        </is>
      </c>
      <c r="I25" s="12" t="inlineStr"/>
      <c r="J25" s="12" t="inlineStr"/>
    </row>
    <row r="26">
      <c r="A26" s="7" t="n">
        <v>22</v>
      </c>
      <c r="B26" s="8" t="inlineStr">
        <is>
          <t>☐</t>
        </is>
      </c>
      <c r="C26" s="9" t="inlineStr">
        <is>
          <t>1. До выкладки</t>
        </is>
      </c>
      <c r="D26" s="10" t="inlineStr">
        <is>
          <t>Почта</t>
        </is>
      </c>
      <c r="E26" s="11" t="inlineStr">
        <is>
          <t>Добавить SPF и DKIM в DNS домена</t>
        </is>
      </c>
      <c r="F26" s="10" t="inlineStr">
        <is>
          <t>Готовые записи даёт провайдер почты; без них письма уходят в спам</t>
        </is>
      </c>
      <c r="G26" s="10" t="inlineStr">
        <is>
          <t>—</t>
        </is>
      </c>
      <c r="H26" s="10" t="inlineStr">
        <is>
          <t>до запуска группы</t>
        </is>
      </c>
      <c r="I26" s="12" t="inlineStr"/>
      <c r="J26" s="12" t="inlineStr"/>
    </row>
    <row r="27">
      <c r="A27" s="7" t="n">
        <v>23</v>
      </c>
      <c r="B27" s="8" t="inlineStr">
        <is>
          <t>☐</t>
        </is>
      </c>
      <c r="C27" s="9" t="inlineStr">
        <is>
          <t>1. До выкладки</t>
        </is>
      </c>
      <c r="D27" s="10" t="inlineStr">
        <is>
          <t>Документы</t>
        </is>
      </c>
      <c r="E27" s="11" t="inlineStr">
        <is>
          <t>Составить политику обработки ПДн и пользовательское соглашение</t>
        </is>
      </c>
      <c r="F27" s="10" t="inlineStr">
        <is>
          <t>Реквизиты оператора (наименование, ИНН, адрес, почта), срок хранения, обработчики: TimeWeb — хостинг; DeepSeek — подсказки (без ПДн)</t>
        </is>
      </c>
      <c r="G27" s="10" t="inlineStr">
        <is>
          <t>Готовые тексты — Claude вставит в templates/legal/privacy.html и terms.html</t>
        </is>
      </c>
      <c r="H27" s="10" t="inlineStr">
        <is>
          <t>до запуска группы</t>
        </is>
      </c>
      <c r="I27" s="12" t="inlineStr"/>
      <c r="J27" s="12" t="inlineStr"/>
    </row>
    <row r="28">
      <c r="A28" s="7" t="n">
        <v>24</v>
      </c>
      <c r="B28" s="8" t="inlineStr">
        <is>
          <t>☐</t>
        </is>
      </c>
      <c r="C28" s="9" t="inlineStr">
        <is>
          <t>1. До выкладки</t>
        </is>
      </c>
      <c r="D28" s="10" t="inlineStr">
        <is>
          <t>Документы</t>
        </is>
      </c>
      <c r="E28" s="11" t="inlineStr">
        <is>
          <t>Утвердить с юристом формулировку галочки согласия</t>
        </is>
      </c>
      <c r="F28" s="10" t="inlineStr">
        <is>
          <t>Сейчас: «Мне есть 14 лет, а если мне меньше 18 — мой родитель знает о регистрации»</t>
        </is>
      </c>
      <c r="G28" s="10" t="inlineStr">
        <is>
          <t>Итоговый текст</t>
        </is>
      </c>
      <c r="H28" s="10" t="inlineStr">
        <is>
          <t>до запуска группы</t>
        </is>
      </c>
      <c r="I28" s="12" t="inlineStr"/>
      <c r="J28" s="12" t="inlineStr"/>
    </row>
    <row r="29">
      <c r="A29" s="7" t="n">
        <v>25</v>
      </c>
      <c r="B29" s="8" t="inlineStr">
        <is>
          <t>☐</t>
        </is>
      </c>
      <c r="C29" s="9" t="inlineStr">
        <is>
          <t>1. До выкладки</t>
        </is>
      </c>
      <c r="D29" s="10" t="inlineStr">
        <is>
          <t>Документы</t>
        </is>
      </c>
      <c r="E29" s="11" t="inlineStr">
        <is>
          <t>Решить с юристом вопрос уведомления Роскомнадзора</t>
        </is>
      </c>
      <c r="F29" s="10" t="inlineStr">
        <is>
          <t>Уведомление об обработке персональных данных, если ещё не подано</t>
        </is>
      </c>
      <c r="G29" s="10" t="inlineStr">
        <is>
          <t>—</t>
        </is>
      </c>
      <c r="H29" s="10" t="inlineStr">
        <is>
          <t>до запуска группы</t>
        </is>
      </c>
      <c r="I29" s="12" t="inlineStr"/>
      <c r="J29" s="12" t="inlineStr"/>
    </row>
    <row r="30">
      <c r="A30" s="7" t="n">
        <v>26</v>
      </c>
      <c r="B30" s="8" t="inlineStr">
        <is>
          <t>☐</t>
        </is>
      </c>
      <c r="C30" s="9" t="inlineStr">
        <is>
          <t>1. До выкладки</t>
        </is>
      </c>
      <c r="D30" s="10" t="inlineStr">
        <is>
          <t>Документы</t>
        </is>
      </c>
      <c r="E30" s="11" t="inlineStr">
        <is>
          <t>Решить, как берём согласие родителей участников младше 18</t>
        </is>
      </c>
      <c r="F30" s="10" t="inlineStr">
        <is>
          <t>Форма и способ (в платформе, бумага, электронно) — по совету юриста</t>
        </is>
      </c>
      <c r="G30" s="10" t="inlineStr">
        <is>
          <t>Решение</t>
        </is>
      </c>
      <c r="H30" s="10" t="inlineStr">
        <is>
          <t>до запуска группы</t>
        </is>
      </c>
      <c r="I30" s="12" t="inlineStr"/>
      <c r="J30" s="12" t="inlineStr"/>
    </row>
    <row r="31">
      <c r="A31" s="7" t="n">
        <v>27</v>
      </c>
      <c r="B31" s="8" t="inlineStr">
        <is>
          <t>☐</t>
        </is>
      </c>
      <c r="C31" s="9" t="inlineStr">
        <is>
          <t>1. До выкладки</t>
        </is>
      </c>
      <c r="D31" s="10" t="inlineStr">
        <is>
          <t>Документы</t>
        </is>
      </c>
      <c r="E31" s="11" t="inlineStr">
        <is>
          <t>После проверки — снять плашку «черновик»</t>
        </is>
      </c>
      <c r="F31" s="10" t="inlineStr">
        <is>
          <t>Claude выставит LEGAL_DOCS_DRAFT=0</t>
        </is>
      </c>
      <c r="G31" s="10" t="inlineStr">
        <is>
          <t>Написать «документы утверждены»</t>
        </is>
      </c>
      <c r="H31" s="10" t="inlineStr">
        <is>
          <t>до запуска группы</t>
        </is>
      </c>
      <c r="I31" s="12" t="inlineStr"/>
      <c r="J31" s="12" t="inlineStr"/>
    </row>
    <row r="32">
      <c r="A32" s="7" t="n">
        <v>28</v>
      </c>
      <c r="B32" s="8" t="inlineStr">
        <is>
          <t>☐</t>
        </is>
      </c>
      <c r="C32" s="9" t="inlineStr">
        <is>
          <t>1. До выкладки</t>
        </is>
      </c>
      <c r="D32" s="10" t="inlineStr">
        <is>
          <t>Контент</t>
        </is>
      </c>
      <c r="E32" s="11" t="inlineStr">
        <is>
          <t>Задачи части 1: 5–8 на каждый узел программы группы</t>
        </is>
      </c>
      <c r="F32" s="10" t="inlineStr">
        <is>
          <t>/studio/ → Задачи: условие, ответ, сложность 1–5, навыки</t>
        </is>
      </c>
      <c r="G32" s="10" t="inlineStr">
        <is>
          <t>—</t>
        </is>
      </c>
      <c r="H32" s="10" t="inlineStr">
        <is>
          <t>до запуска группы</t>
        </is>
      </c>
      <c r="I32" s="12" t="inlineStr"/>
      <c r="J32" s="12" t="inlineStr"/>
    </row>
    <row r="33">
      <c r="A33" s="7" t="n">
        <v>29</v>
      </c>
      <c r="B33" s="8" t="inlineStr">
        <is>
          <t>☐</t>
        </is>
      </c>
      <c r="C33" s="9" t="inlineStr">
        <is>
          <t>1. До выкладки</t>
        </is>
      </c>
      <c r="D33" s="10" t="inlineStr">
        <is>
          <t>Контент</t>
        </is>
      </c>
      <c r="E33" s="11" t="inlineStr">
        <is>
          <t>Задачи части 2 (№13–19): по 2–3 с эталоном и критериями</t>
        </is>
      </c>
      <c r="F33" s="10" t="inlineStr">
        <is>
          <t>/studio/ → Задачи</t>
        </is>
      </c>
      <c r="G33" s="10" t="inlineStr">
        <is>
          <t>—</t>
        </is>
      </c>
      <c r="H33" s="10" t="inlineStr">
        <is>
          <t>до запуска группы</t>
        </is>
      </c>
      <c r="I33" s="12" t="inlineStr"/>
      <c r="J33" s="12" t="inlineStr"/>
    </row>
    <row r="34">
      <c r="A34" s="7" t="n">
        <v>30</v>
      </c>
      <c r="B34" s="8" t="inlineStr">
        <is>
          <t>☐</t>
        </is>
      </c>
      <c r="C34" s="9" t="inlineStr">
        <is>
          <t>1. До выкладки</t>
        </is>
      </c>
      <c r="D34" s="10" t="inlineStr">
        <is>
          <t>Контент</t>
        </is>
      </c>
      <c r="E34" s="11" t="inlineStr">
        <is>
          <t>Уроки: конспект и, по возможности, видео</t>
        </is>
      </c>
      <c r="F34" s="10" t="inlineStr">
        <is>
          <t>/studio/ → Уроки</t>
        </is>
      </c>
      <c r="G34" s="10" t="inlineStr">
        <is>
          <t>—</t>
        </is>
      </c>
      <c r="H34" s="10" t="inlineStr">
        <is>
          <t>до запуска группы</t>
        </is>
      </c>
      <c r="I34" s="12" t="inlineStr"/>
      <c r="J34" s="12" t="inlineStr"/>
    </row>
    <row r="35">
      <c r="A35" s="7" t="n">
        <v>31</v>
      </c>
      <c r="B35" s="8" t="inlineStr">
        <is>
          <t>☐</t>
        </is>
      </c>
      <c r="C35" s="9" t="inlineStr">
        <is>
          <t>1. До выкладки</t>
        </is>
      </c>
      <c r="D35" s="10" t="inlineStr">
        <is>
          <t>Kinescope</t>
        </is>
      </c>
      <c r="E35" s="11" t="inlineStr">
        <is>
          <t>Завести аккаунт и загрузить ролики уроков</t>
        </is>
      </c>
      <c r="F35" s="10" t="inlineStr">
        <is>
          <t>kinescope.io</t>
        </is>
      </c>
      <c r="G35" s="10" t="inlineStr">
        <is>
          <t>—</t>
        </is>
      </c>
      <c r="H35" s="10" t="inlineStr">
        <is>
          <t>по готовности контента</t>
        </is>
      </c>
      <c r="I35" s="12" t="inlineStr"/>
      <c r="J35" s="12" t="inlineStr"/>
    </row>
    <row r="36">
      <c r="A36" s="7" t="n">
        <v>32</v>
      </c>
      <c r="B36" s="8" t="inlineStr">
        <is>
          <t>☐</t>
        </is>
      </c>
      <c r="C36" s="9" t="inlineStr">
        <is>
          <t>1. До выкладки</t>
        </is>
      </c>
      <c r="D36" s="10" t="inlineStr">
        <is>
          <t>Kinescope</t>
        </is>
      </c>
      <c r="E36" s="11" t="inlineStr">
        <is>
          <t>Ограничить встраивание роликов своим доменом</t>
        </is>
      </c>
      <c r="F36" s="10" t="inlineStr">
        <is>
          <t>Настройки проекта Kinescope → разрешённые домены</t>
        </is>
      </c>
      <c r="G36" s="10" t="inlineStr">
        <is>
          <t>—</t>
        </is>
      </c>
      <c r="H36" s="10" t="inlineStr">
        <is>
          <t>по готовности контента</t>
        </is>
      </c>
      <c r="I36" s="12" t="inlineStr"/>
      <c r="J36" s="12" t="inlineStr"/>
    </row>
    <row r="37">
      <c r="A37" s="7" t="n">
        <v>33</v>
      </c>
      <c r="B37" s="8" t="inlineStr">
        <is>
          <t>☐</t>
        </is>
      </c>
      <c r="C37" s="9" t="inlineStr">
        <is>
          <t>1. До выкладки</t>
        </is>
      </c>
      <c r="D37" s="10" t="inlineStr">
        <is>
          <t>Kinescope</t>
        </is>
      </c>
      <c r="E37" s="11" t="inlineStr">
        <is>
          <t>Создать ключ подписи ссылок</t>
        </is>
      </c>
      <c r="F37" s="10" t="inlineStr">
        <is>
          <t>Вписать KINESCOPE_SIGNING_KEY и KINESCOPE_KEY_ID в .env.production. Без ключа ссылку на видео можно унести</t>
        </is>
      </c>
      <c r="G37" s="10" t="inlineStr">
        <is>
          <t>Сообщить «ключ вписан»</t>
        </is>
      </c>
      <c r="H37" s="10" t="inlineStr">
        <is>
          <t>по готовности контента</t>
        </is>
      </c>
      <c r="I37" s="12" t="inlineStr"/>
      <c r="J37" s="12" t="inlineStr"/>
    </row>
    <row r="38">
      <c r="A38" s="7" t="n">
        <v>34</v>
      </c>
      <c r="B38" s="8" t="inlineStr">
        <is>
          <t>☐</t>
        </is>
      </c>
      <c r="C38" s="13" t="inlineStr">
        <is>
          <t>2. Выкладка и репетиция</t>
        </is>
      </c>
      <c r="D38" s="10" t="inlineStr">
        <is>
          <t>Kinescope</t>
        </is>
      </c>
      <c r="E38" s="11" t="inlineStr">
        <is>
          <t>Вставить ID роликов в уроки</t>
        </is>
      </c>
      <c r="F38" s="10" t="inlineStr">
        <is>
          <t>/studio/ → Уроки → видео</t>
        </is>
      </c>
      <c r="G38" s="10" t="inlineStr">
        <is>
          <t>—</t>
        </is>
      </c>
      <c r="H38" s="10" t="inlineStr">
        <is>
          <t>по готовности контента</t>
        </is>
      </c>
      <c r="I38" s="12" t="inlineStr"/>
      <c r="J38" s="12" t="inlineStr"/>
    </row>
    <row r="39">
      <c r="A39" s="7" t="n">
        <v>35</v>
      </c>
      <c r="B39" s="8" t="inlineStr">
        <is>
          <t>☐</t>
        </is>
      </c>
      <c r="C39" s="13" t="inlineStr">
        <is>
          <t>2. Выкладка и репетиция</t>
        </is>
      </c>
      <c r="D39" s="10" t="inlineStr">
        <is>
          <t>Сотрудники</t>
        </is>
      </c>
      <c r="E39" s="11" t="inlineStr">
        <is>
          <t>Придумать логин и почту суперпользователя</t>
        </is>
      </c>
      <c r="F39" s="10" t="inlineStr">
        <is>
          <t>Claude создаст его на выкладке, пароль задаёте сами</t>
        </is>
      </c>
      <c r="G39" s="10" t="inlineStr">
        <is>
          <t>Логин и почта</t>
        </is>
      </c>
      <c r="H39" s="10" t="inlineStr">
        <is>
          <t>на выкладке</t>
        </is>
      </c>
      <c r="I39" s="12" t="inlineStr"/>
      <c r="J39" s="12" t="inlineStr"/>
    </row>
    <row r="40">
      <c r="A40" s="7" t="n">
        <v>36</v>
      </c>
      <c r="B40" s="8" t="inlineStr">
        <is>
          <t>☐</t>
        </is>
      </c>
      <c r="C40" s="13" t="inlineStr">
        <is>
          <t>2. Выкладка и репетиция</t>
        </is>
      </c>
      <c r="D40" s="10" t="inlineStr">
        <is>
          <t>Сотрудники</t>
        </is>
      </c>
      <c r="E40" s="11" t="inlineStr">
        <is>
          <t>Каждому — свой аккаунт сотрудника, без общего на двоих</t>
        </is>
      </c>
      <c r="F40" s="10" t="inlineStr">
        <is>
          <t>В журнале действий должно быть видно, кто что сделал</t>
        </is>
      </c>
      <c r="G40" s="10" t="inlineStr">
        <is>
          <t>—</t>
        </is>
      </c>
      <c r="H40" s="10" t="inlineStr">
        <is>
          <t>после выкладки</t>
        </is>
      </c>
      <c r="I40" s="12" t="inlineStr"/>
      <c r="J40" s="12" t="inlineStr"/>
    </row>
    <row r="41">
      <c r="A41" s="7" t="n">
        <v>37</v>
      </c>
      <c r="B41" s="8" t="inlineStr">
        <is>
          <t>☐</t>
        </is>
      </c>
      <c r="C41" s="13" t="inlineStr">
        <is>
          <t>2. Выкладка и репетиция</t>
        </is>
      </c>
      <c r="D41" s="10" t="inlineStr">
        <is>
          <t>Сотрудники</t>
        </is>
      </c>
      <c r="E41" s="11" t="inlineStr">
        <is>
          <t>Назначить роли «Методисты» и «Эксперты»</t>
        </is>
      </c>
      <c r="F41" s="10" t="inlineStr">
        <is>
          <t>Django-админка → пользователи → группы; одному человеку можно обе</t>
        </is>
      </c>
      <c r="G41" s="10" t="inlineStr">
        <is>
          <t>—</t>
        </is>
      </c>
      <c r="H41" s="10" t="inlineStr">
        <is>
          <t>после выкладки</t>
        </is>
      </c>
      <c r="I41" s="12" t="inlineStr"/>
      <c r="J41" s="12" t="inlineStr"/>
    </row>
    <row r="42">
      <c r="A42" s="7" t="n">
        <v>38</v>
      </c>
      <c r="B42" s="8" t="inlineStr">
        <is>
          <t>☐</t>
        </is>
      </c>
      <c r="C42" s="13" t="inlineStr">
        <is>
          <t>2. Выкладка и репетиция</t>
        </is>
      </c>
      <c r="D42" s="10" t="inlineStr">
        <is>
          <t>Сотрудники</t>
        </is>
      </c>
      <c r="E42" s="11" t="inlineStr">
        <is>
          <t>Включить второй фактор и сохранить резервные коды</t>
        </is>
      </c>
      <c r="F42" s="10" t="inlineStr">
        <is>
          <t>Приложение-аутентификатор: Яндекс Ключ или Google Authenticator</t>
        </is>
      </c>
      <c r="G42" s="10" t="inlineStr">
        <is>
          <t>—</t>
        </is>
      </c>
      <c r="H42" s="10" t="inlineStr">
        <is>
          <t>после выкладки</t>
        </is>
      </c>
      <c r="I42" s="12" t="inlineStr"/>
      <c r="J42" s="12" t="inlineStr"/>
    </row>
    <row r="43">
      <c r="A43" s="7" t="n">
        <v>39</v>
      </c>
      <c r="B43" s="8" t="inlineStr">
        <is>
          <t>☐</t>
        </is>
      </c>
      <c r="C43" s="13" t="inlineStr">
        <is>
          <t>2. Выкладка и репетиция</t>
        </is>
      </c>
      <c r="D43" s="10" t="inlineStr">
        <is>
          <t>Контент</t>
        </is>
      </c>
      <c r="E43" s="11" t="inlineStr">
        <is>
          <t>Собрать входную диагностику из 15–20 реальных задач</t>
        </is>
      </c>
      <c r="F43" s="10" t="inlineStr">
        <is>
          <t>На сервере: /studio/ → Диагностики и пробники</t>
        </is>
      </c>
      <c r="G43" s="10" t="inlineStr">
        <is>
          <t>—</t>
        </is>
      </c>
      <c r="H43" s="10" t="inlineStr">
        <is>
          <t>после выкладки</t>
        </is>
      </c>
      <c r="I43" s="12" t="inlineStr"/>
      <c r="J43" s="12" t="inlineStr"/>
    </row>
    <row r="44">
      <c r="A44" s="7" t="n">
        <v>40</v>
      </c>
      <c r="B44" s="8" t="inlineStr">
        <is>
          <t>☐</t>
        </is>
      </c>
      <c r="C44" s="13" t="inlineStr">
        <is>
          <t>2. Выкладка и репетиция</t>
        </is>
      </c>
      <c r="D44" s="10" t="inlineStr">
        <is>
          <t>Контент</t>
        </is>
      </c>
      <c r="E44" s="11" t="inlineStr">
        <is>
          <t>Собрать хотя бы один полный пробник</t>
        </is>
      </c>
      <c r="F44" s="10" t="inlineStr">
        <is>
          <t>/studio/ → Диагностики и пробники</t>
        </is>
      </c>
      <c r="G44" s="10" t="inlineStr">
        <is>
          <t>—</t>
        </is>
      </c>
      <c r="H44" s="10" t="inlineStr">
        <is>
          <t>после выкладки</t>
        </is>
      </c>
      <c r="I44" s="12" t="inlineStr"/>
      <c r="J44" s="12" t="inlineStr"/>
    </row>
    <row r="45">
      <c r="A45" s="7" t="n">
        <v>41</v>
      </c>
      <c r="B45" s="8" t="inlineStr">
        <is>
          <t>☐</t>
        </is>
      </c>
      <c r="C45" s="13" t="inlineStr">
        <is>
          <t>2. Выкладка и репетиция</t>
        </is>
      </c>
      <c r="D45" s="10" t="inlineStr">
        <is>
          <t>Контент</t>
        </is>
      </c>
      <c r="E45" s="11" t="inlineStr">
        <is>
          <t>Заполнить задания дня на первые две недели</t>
        </is>
      </c>
      <c r="F45" s="10" t="inlineStr">
        <is>
          <t>/studio/ → Задания дня</t>
        </is>
      </c>
      <c r="G45" s="10" t="inlineStr">
        <is>
          <t>—</t>
        </is>
      </c>
      <c r="H45" s="10" t="inlineStr">
        <is>
          <t>после выкладки</t>
        </is>
      </c>
      <c r="I45" s="12" t="inlineStr"/>
      <c r="J45" s="12" t="inlineStr"/>
    </row>
    <row r="46">
      <c r="A46" s="7" t="n">
        <v>42</v>
      </c>
      <c r="B46" s="8" t="inlineStr">
        <is>
          <t>☐</t>
        </is>
      </c>
      <c r="C46" s="13" t="inlineStr">
        <is>
          <t>2. Выкладка и репетиция</t>
        </is>
      </c>
      <c r="D46" s="10" t="inlineStr">
        <is>
          <t>Контентолог</t>
        </is>
      </c>
      <c r="E46" s="11" t="inlineStr">
        <is>
          <t>Создать публичный канал и сделать бота администратором</t>
        </is>
      </c>
      <c r="F46" s="10" t="inlineStr">
        <is>
          <t>Telegram: @content_mathemation_bot — администратор канала с правом публиковать</t>
        </is>
      </c>
      <c r="G46" s="10" t="inlineStr">
        <is>
          <t>@имя канала</t>
        </is>
      </c>
      <c r="H46" s="10" t="inlineStr">
        <is>
          <t>после выкладки</t>
        </is>
      </c>
      <c r="I46" s="12" t="inlineStr"/>
      <c r="J46" s="12" t="inlineStr"/>
    </row>
    <row r="47">
      <c r="A47" s="7" t="n">
        <v>43</v>
      </c>
      <c r="B47" s="8" t="inlineStr">
        <is>
          <t>☐</t>
        </is>
      </c>
      <c r="C47" s="13" t="inlineStr">
        <is>
          <t>2. Выкладка и репетиция</t>
        </is>
      </c>
      <c r="D47" s="10" t="inlineStr">
        <is>
          <t>Контентолог</t>
        </is>
      </c>
      <c r="E47" s="11" t="inlineStr">
        <is>
          <t>Заполнить профиль бренда</t>
        </is>
      </c>
      <c r="F47" s="10" t="inlineStr">
        <is>
          <t>Раздел «Соцсети»: название, тон, 3–5 примеров постов, запретные темы, конкуренты, подпись, хэштеги, дата ЕГЭ</t>
        </is>
      </c>
      <c r="G47" s="10" t="inlineStr">
        <is>
          <t>—</t>
        </is>
      </c>
      <c r="H47" s="10" t="inlineStr">
        <is>
          <t>после выкладки</t>
        </is>
      </c>
      <c r="I47" s="12" t="inlineStr"/>
      <c r="J47" s="12" t="inlineStr"/>
    </row>
    <row r="48">
      <c r="A48" s="7" t="n">
        <v>44</v>
      </c>
      <c r="B48" s="8" t="inlineStr">
        <is>
          <t>☐</t>
        </is>
      </c>
      <c r="C48" s="13" t="inlineStr">
        <is>
          <t>2. Выкладка и репетиция</t>
        </is>
      </c>
      <c r="D48" s="10" t="inlineStr">
        <is>
          <t>Контентолог</t>
        </is>
      </c>
      <c r="E48" s="11" t="inlineStr">
        <is>
          <t>Добавить канал в админке</t>
        </is>
      </c>
      <c r="F48" s="10" t="inlineStr">
        <is>
          <t>«Соцсети» → Каналы: Telegram, @имя_канала, «Активен», режим «Ручной»</t>
        </is>
      </c>
      <c r="G48" s="10" t="inlineStr">
        <is>
          <t>—</t>
        </is>
      </c>
      <c r="H48" s="10" t="inlineStr">
        <is>
          <t>после выкладки</t>
        </is>
      </c>
      <c r="I48" s="12" t="inlineStr"/>
      <c r="J48" s="12" t="inlineStr"/>
    </row>
    <row r="49">
      <c r="A49" s="7" t="n">
        <v>45</v>
      </c>
      <c r="B49" s="8" t="inlineStr">
        <is>
          <t>☐</t>
        </is>
      </c>
      <c r="C49" s="13" t="inlineStr">
        <is>
          <t>2. Выкладка и репетиция</t>
        </is>
      </c>
      <c r="D49" s="10" t="inlineStr">
        <is>
          <t>Контентолог</t>
        </is>
      </c>
      <c r="E49" s="11" t="inlineStr">
        <is>
          <t>Настроить рубрики и слоты расписания</t>
        </is>
      </c>
      <c r="F49" s="10" t="inlineStr">
        <is>
          <t>Аудитория, подсказка для текста, риск; слоты — канал, день недели, время</t>
        </is>
      </c>
      <c r="G49" s="10" t="inlineStr">
        <is>
          <t>—</t>
        </is>
      </c>
      <c r="H49" s="10" t="inlineStr">
        <is>
          <t>после выкладки</t>
        </is>
      </c>
      <c r="I49" s="12" t="inlineStr"/>
      <c r="J49" s="12" t="inlineStr"/>
    </row>
    <row r="50">
      <c r="A50" s="7" t="n">
        <v>46</v>
      </c>
      <c r="B50" s="8" t="inlineStr">
        <is>
          <t>☐</t>
        </is>
      </c>
      <c r="C50" s="13" t="inlineStr">
        <is>
          <t>2. Выкладка и репетиция</t>
        </is>
      </c>
      <c r="D50" s="10" t="inlineStr">
        <is>
          <t>Контентолог</t>
        </is>
      </c>
      <c r="E50" s="11" t="inlineStr">
        <is>
          <t>Выдать разрешения на задачи и уроки для постов</t>
        </is>
      </c>
      <c r="F50" s="10" t="inlineStr">
        <is>
          <t>Без разрешения материал в пост не попадёт</t>
        </is>
      </c>
      <c r="G50" s="10" t="inlineStr">
        <is>
          <t>—</t>
        </is>
      </c>
      <c r="H50" s="10" t="inlineStr">
        <is>
          <t>после выкладки</t>
        </is>
      </c>
      <c r="I50" s="12" t="inlineStr"/>
      <c r="J50" s="12" t="inlineStr"/>
    </row>
    <row r="51">
      <c r="A51" s="7" t="n">
        <v>47</v>
      </c>
      <c r="B51" s="8" t="inlineStr">
        <is>
          <t>☐</t>
        </is>
      </c>
      <c r="C51" s="13" t="inlineStr">
        <is>
          <t>2. Выкладка и репетиция</t>
        </is>
      </c>
      <c r="D51" s="10" t="inlineStr">
        <is>
          <t>Контентолог</t>
        </is>
      </c>
      <c r="E51" s="11" t="inlineStr">
        <is>
          <t>Завести очередь идей для постов</t>
        </is>
      </c>
      <c r="F51" s="10" t="inlineStr">
        <is>
          <t>«Соцсети» → Идеи</t>
        </is>
      </c>
      <c r="G51" s="10" t="inlineStr">
        <is>
          <t>—</t>
        </is>
      </c>
      <c r="H51" s="10" t="inlineStr">
        <is>
          <t>после выкладки</t>
        </is>
      </c>
      <c r="I51" s="12" t="inlineStr"/>
      <c r="J51" s="12" t="inlineStr"/>
    </row>
    <row r="52">
      <c r="A52" s="7" t="n">
        <v>48</v>
      </c>
      <c r="B52" s="8" t="inlineStr">
        <is>
          <t>☐</t>
        </is>
      </c>
      <c r="C52" s="13" t="inlineStr">
        <is>
          <t>2. Выкладка и репетиция</t>
        </is>
      </c>
      <c r="D52" s="10" t="inlineStr">
        <is>
          <t>Контентолог</t>
        </is>
      </c>
      <c r="E52" s="11" t="inlineStr">
        <is>
          <t>Решить, когда включить реальную публикацию</t>
        </is>
      </c>
      <c r="F52" s="10" t="inlineStr">
        <is>
          <t>Сейчас одобрение в чате — сухой прогон (SOCIAL_AGENT_PUBLISH_ENABLED=0)</t>
        </is>
      </c>
      <c r="G52" s="10" t="inlineStr">
        <is>
          <t>Написать «включаем публикацию»</t>
        </is>
      </c>
      <c r="H52" s="10" t="inlineStr">
        <is>
          <t>после выкладки</t>
        </is>
      </c>
      <c r="I52" s="12" t="inlineStr"/>
      <c r="J52" s="12" t="inlineStr"/>
    </row>
    <row r="53">
      <c r="A53" s="7" t="n">
        <v>49</v>
      </c>
      <c r="B53" s="8" t="inlineStr">
        <is>
          <t>☐</t>
        </is>
      </c>
      <c r="C53" s="13" t="inlineStr">
        <is>
          <t>2. Выкладка и репетиция</t>
        </is>
      </c>
      <c r="D53" s="10" t="inlineStr">
        <is>
          <t>Репетиция</t>
        </is>
      </c>
      <c r="E53" s="11" t="inlineStr">
        <is>
          <t>Пройти путь ученика и родителя силами 2–3 своих людей</t>
        </is>
      </c>
      <c r="F53" s="10" t="inlineStr">
        <is>
          <t>Регистрация по коду, диагностика, урок, отработка, пробник, отчёт родителю, восстановление пароля, «Сообщить о проблеме»</t>
        </is>
      </c>
      <c r="G53" s="10" t="inlineStr">
        <is>
          <t>Список замечаний</t>
        </is>
      </c>
      <c r="H53" s="10" t="inlineStr">
        <is>
          <t>перед запуском группы</t>
        </is>
      </c>
      <c r="I53" s="12" t="inlineStr"/>
      <c r="J53" s="12" t="inlineStr"/>
    </row>
    <row r="54">
      <c r="A54" s="7" t="n">
        <v>50</v>
      </c>
      <c r="B54" s="8" t="inlineStr">
        <is>
          <t>☐</t>
        </is>
      </c>
      <c r="C54" s="13" t="inlineStr">
        <is>
          <t>2. Выкладка и репетиция</t>
        </is>
      </c>
      <c r="D54" s="10" t="inlineStr">
        <is>
          <t>Почта</t>
        </is>
      </c>
      <c r="E54" s="11" t="inlineStr">
        <is>
          <t>Проверить письмо восстановления пароля на боевом домене</t>
        </is>
      </c>
      <c r="F54" s="10" t="inlineStr">
        <is>
          <t>Запросить сброс для тестового аккаунта: письмо дошло, не в спаме, ссылка на https-домен</t>
        </is>
      </c>
      <c r="G54" s="10" t="inlineStr">
        <is>
          <t>Результат</t>
        </is>
      </c>
      <c r="H54" s="10" t="inlineStr">
        <is>
          <t>перед запуском группы</t>
        </is>
      </c>
      <c r="I54" s="12" t="inlineStr"/>
      <c r="J54" s="12" t="inlineStr"/>
    </row>
    <row r="55">
      <c r="A55" s="7" t="n">
        <v>51</v>
      </c>
      <c r="B55" s="8" t="inlineStr">
        <is>
          <t>☐</t>
        </is>
      </c>
      <c r="C55" s="14" t="inlineStr">
        <is>
          <t>3. Запуск группы</t>
        </is>
      </c>
      <c r="D55" s="10" t="inlineStr">
        <is>
          <t>Группа</t>
        </is>
      </c>
      <c r="E55" s="11" t="inlineStr">
        <is>
          <t>Подобрать группу: 10–30 учеников и их родители, сроки теста</t>
        </is>
      </c>
      <c r="F55" s="10" t="inlineStr">
        <is>
          <t>—</t>
        </is>
      </c>
      <c r="G55" s="10" t="inlineStr">
        <is>
          <t>Число участников и даты</t>
        </is>
      </c>
      <c r="H55" s="10" t="inlineStr">
        <is>
          <t>до запуска</t>
        </is>
      </c>
      <c r="I55" s="12" t="inlineStr"/>
      <c r="J55" s="12" t="inlineStr"/>
    </row>
    <row r="56">
      <c r="A56" s="7" t="n">
        <v>52</v>
      </c>
      <c r="B56" s="8" t="inlineStr">
        <is>
          <t>☐</t>
        </is>
      </c>
      <c r="C56" s="14" t="inlineStr">
        <is>
          <t>3. Запуск группы</t>
        </is>
      </c>
      <c r="D56" s="10" t="inlineStr">
        <is>
          <t>Группа</t>
        </is>
      </c>
      <c r="E56" s="11" t="inlineStr">
        <is>
          <t>Создать группу и коды приглашений</t>
        </is>
      </c>
      <c r="F56" s="10" t="inlineStr">
        <is>
          <t>Панель → приглашения ученикам и родителям</t>
        </is>
      </c>
      <c r="G56" s="10" t="inlineStr">
        <is>
          <t>—</t>
        </is>
      </c>
      <c r="H56" s="10" t="inlineStr">
        <is>
          <t>в день запуска</t>
        </is>
      </c>
      <c r="I56" s="12" t="inlineStr"/>
      <c r="J56" s="12" t="inlineStr"/>
    </row>
    <row r="57">
      <c r="A57" s="7" t="n">
        <v>53</v>
      </c>
      <c r="B57" s="8" t="inlineStr">
        <is>
          <t>☐</t>
        </is>
      </c>
      <c r="C57" s="14" t="inlineStr">
        <is>
          <t>3. Запуск группы</t>
        </is>
      </c>
      <c r="D57" s="10" t="inlineStr">
        <is>
          <t>Группа</t>
        </is>
      </c>
      <c r="E57" s="11" t="inlineStr">
        <is>
          <t>Разослать коды и памятку участникам</t>
        </is>
      </c>
      <c r="F57" s="10" t="inlineStr">
        <is>
          <t>Памятку на одну страницу готовит Claude</t>
        </is>
      </c>
      <c r="G57" s="10" t="inlineStr">
        <is>
          <t>—</t>
        </is>
      </c>
      <c r="H57" s="10" t="inlineStr">
        <is>
          <t>в день запуска</t>
        </is>
      </c>
      <c r="I57" s="12" t="inlineStr"/>
      <c r="J57" s="12" t="inlineStr"/>
    </row>
    <row r="58">
      <c r="A58" s="7" t="n">
        <v>54</v>
      </c>
      <c r="B58" s="8" t="inlineStr">
        <is>
          <t>☐</t>
        </is>
      </c>
      <c r="C58" s="14" t="inlineStr">
        <is>
          <t>3. Запуск группы</t>
        </is>
      </c>
      <c r="D58" s="10" t="inlineStr">
        <is>
          <t>Группа</t>
        </is>
      </c>
      <c r="E58" s="11" t="inlineStr">
        <is>
          <t>Договориться, куда участники пишут о проблемах</t>
        </is>
      </c>
      <c r="F58" s="10" t="inlineStr">
        <is>
          <t>Кнопка «Сообщить о проблеме» на сайте и/или отдельный чат</t>
        </is>
      </c>
      <c r="G58" s="10" t="inlineStr">
        <is>
          <t>—</t>
        </is>
      </c>
      <c r="H58" s="10" t="inlineStr">
        <is>
          <t>в день запуска</t>
        </is>
      </c>
      <c r="I58" s="12" t="inlineStr"/>
      <c r="J58" s="12" t="inlineStr"/>
    </row>
    <row r="59">
      <c r="A59" s="7" t="n">
        <v>55</v>
      </c>
      <c r="B59" s="8" t="inlineStr">
        <is>
          <t>☐</t>
        </is>
      </c>
      <c r="C59" s="15" t="inlineStr">
        <is>
          <t>4. Во время теста</t>
        </is>
      </c>
      <c r="D59" s="10" t="inlineStr">
        <is>
          <t>Наблюдение</t>
        </is>
      </c>
      <c r="E59" s="11" t="inlineStr">
        <is>
          <t>Смотреть обратную связь, письма об ошибках и расход наставника</t>
        </is>
      </c>
      <c r="F59" s="10" t="inlineStr">
        <is>
          <t>Методист: обратная связь и расход; почта errors@</t>
        </is>
      </c>
      <c r="G59" s="10" t="inlineStr">
        <is>
          <t>Всё необычное — Claude</t>
        </is>
      </c>
      <c r="H59" s="10" t="inlineStr">
        <is>
          <t>ежедневно, первые 2 недели</t>
        </is>
      </c>
      <c r="I59" s="12" t="inlineStr"/>
      <c r="J59" s="12" t="inlineStr"/>
    </row>
    <row r="60">
      <c r="A60" s="7" t="n">
        <v>56</v>
      </c>
      <c r="B60" s="8" t="inlineStr">
        <is>
          <t>☐</t>
        </is>
      </c>
      <c r="C60" s="15" t="inlineStr">
        <is>
          <t>4. Во время теста</t>
        </is>
      </c>
      <c r="D60" s="10" t="inlineStr">
        <is>
          <t>Контентолог</t>
        </is>
      </c>
      <c r="E60" s="11" t="inlineStr">
        <is>
          <t>Согласовывать посты бота в служебном чате</t>
        </is>
      </c>
      <c r="F60" s="10" t="inlineStr">
        <is>
          <t>Кнопки «Опубликовать / Переписать / Отклонить»</t>
        </is>
      </c>
      <c r="G60" s="10" t="inlineStr">
        <is>
          <t>—</t>
        </is>
      </c>
      <c r="H60" s="10" t="inlineStr">
        <is>
          <t>ежедневно</t>
        </is>
      </c>
      <c r="I60" s="12" t="inlineStr"/>
      <c r="J60" s="12" t="inlineStr"/>
    </row>
    <row r="61">
      <c r="A61" s="7" t="n">
        <v>57</v>
      </c>
      <c r="B61" s="8" t="inlineStr">
        <is>
          <t>☐</t>
        </is>
      </c>
      <c r="C61" s="15" t="inlineStr">
        <is>
          <t>4. Во время теста</t>
        </is>
      </c>
      <c r="D61" s="10" t="inlineStr">
        <is>
          <t>Наблюдение</t>
        </is>
      </c>
      <c r="E61" s="11" t="inlineStr">
        <is>
          <t>Смотреть отчёт по тесту</t>
        </is>
      </c>
      <c r="F61" s="10" t="inlineStr">
        <is>
          <t>Активность, возвраты на 1-й и 7-й день, пункты плана, подсказки (отчёт сделает Claude)</t>
        </is>
      </c>
      <c r="G61" s="10" t="inlineStr">
        <is>
          <t>Выводы</t>
        </is>
      </c>
      <c r="H61" s="10" t="inlineStr">
        <is>
          <t>еженедельно</t>
        </is>
      </c>
      <c r="I61" s="12" t="inlineStr"/>
      <c r="J61" s="12" t="inlineStr"/>
    </row>
    <row r="62">
      <c r="A62" s="7" t="n">
        <v>58</v>
      </c>
      <c r="B62" s="8" t="inlineStr">
        <is>
          <t>☐</t>
        </is>
      </c>
      <c r="C62" s="15" t="inlineStr">
        <is>
          <t>4. Во время теста</t>
        </is>
      </c>
      <c r="D62" s="10" t="inlineStr">
        <is>
          <t>Деньги</t>
        </is>
      </c>
      <c r="E62" s="11" t="inlineStr">
        <is>
          <t>Проверять балансы TimeWeb и DeepSeek</t>
        </is>
      </c>
      <c r="F62" s="10" t="inlineStr">
        <is>
          <t>Кабинеты провайдеров</t>
        </is>
      </c>
      <c r="G62" s="10" t="inlineStr">
        <is>
          <t>—</t>
        </is>
      </c>
      <c r="H62" s="10" t="inlineStr">
        <is>
          <t>еженедельно</t>
        </is>
      </c>
      <c r="I62" s="12" t="inlineStr"/>
      <c r="J62" s="12" t="inlineStr"/>
    </row>
    <row r="63">
      <c r="A63" s="7" t="n">
        <v>59</v>
      </c>
      <c r="B63" s="8" t="inlineStr">
        <is>
          <t>☐</t>
        </is>
      </c>
      <c r="C63" s="15" t="inlineStr">
        <is>
          <t>4. Во время теста</t>
        </is>
      </c>
      <c r="D63" s="10" t="inlineStr">
        <is>
          <t>Наблюдение</t>
        </is>
      </c>
      <c r="E63" s="11" t="inlineStr">
        <is>
          <t>Проверить, что сезон лиги закрылся и награды выданы</t>
        </is>
      </c>
      <c r="F63" s="10" t="inlineStr">
        <is>
          <t>Страница «Лига» 1-го числа</t>
        </is>
      </c>
      <c r="G63" s="10" t="inlineStr">
        <is>
          <t>Если нет — Claude</t>
        </is>
      </c>
      <c r="H63" s="10" t="inlineStr">
        <is>
          <t>ежемесячно</t>
        </is>
      </c>
      <c r="I63" s="12" t="inlineStr"/>
      <c r="J63" s="12" t="inlineStr"/>
    </row>
    <row r="64">
      <c r="A64" s="7" t="n">
        <v>60</v>
      </c>
      <c r="B64" s="8" t="inlineStr">
        <is>
          <t>☐</t>
        </is>
      </c>
      <c r="C64" s="15" t="inlineStr">
        <is>
          <t>4. Во время теста</t>
        </is>
      </c>
      <c r="D64" s="10" t="inlineStr">
        <is>
          <t>Бэкапы</t>
        </is>
      </c>
      <c r="E64" s="11" t="inlineStr">
        <is>
          <t>Учебное восстановление из бэкапа</t>
        </is>
      </c>
      <c r="F64" s="10" t="inlineStr">
        <is>
          <t>Вместе с Claude: restore.sh в отдельную базу</t>
        </is>
      </c>
      <c r="G64" s="10" t="inlineStr">
        <is>
          <t>Дата проверки</t>
        </is>
      </c>
      <c r="H64" s="10" t="inlineStr">
        <is>
          <t>раз в квартал</t>
        </is>
      </c>
      <c r="I64" s="12" t="inlineStr"/>
      <c r="J64" s="12" t="inlineStr"/>
    </row>
    <row r="65">
      <c r="A65" s="7" t="n">
        <v>61</v>
      </c>
      <c r="B65" s="8" t="inlineStr">
        <is>
          <t>☐</t>
        </is>
      </c>
      <c r="C65" s="16" t="inlineStr">
        <is>
          <t>5. После теста</t>
        </is>
      </c>
      <c r="D65" s="10" t="inlineStr">
        <is>
          <t>Безопасность</t>
        </is>
      </c>
      <c r="E65" s="11" t="inlineStr">
        <is>
          <t>Перевыпустить оба ключа DeepSeek и удалить старые</t>
        </is>
      </c>
      <c r="F65" s="10" t="inlineStr">
        <is>
          <t>Старые ключи были отправлены в чат; новые — в .env.production</t>
        </is>
      </c>
      <c r="G65" s="10" t="inlineStr">
        <is>
          <t>Сообщить «ключи заменены»</t>
        </is>
      </c>
      <c r="H65" s="10" t="inlineStr">
        <is>
          <t>после теста</t>
        </is>
      </c>
      <c r="I65" s="12" t="inlineStr"/>
      <c r="J65" s="12" t="inlineStr"/>
    </row>
    <row r="66">
      <c r="A66" s="7" t="n">
        <v>62</v>
      </c>
      <c r="B66" s="8" t="inlineStr">
        <is>
          <t>☐</t>
        </is>
      </c>
      <c r="C66" s="16" t="inlineStr">
        <is>
          <t>5. После теста</t>
        </is>
      </c>
      <c r="D66" s="10" t="inlineStr">
        <is>
          <t>Итоги</t>
        </is>
      </c>
      <c r="E66" s="11" t="inlineStr">
        <is>
          <t>Разобрать итоги теста и решить про оплату</t>
        </is>
      </c>
      <c r="F66" s="10" t="inlineStr">
        <is>
          <t>Эквайринг (ЮKassa или аналог), чеки по 54-ФЗ, тарифы</t>
        </is>
      </c>
      <c r="G66" s="10" t="inlineStr">
        <is>
          <t>Решения</t>
        </is>
      </c>
      <c r="H66" s="10" t="inlineStr">
        <is>
          <t>после теста</t>
        </is>
      </c>
      <c r="I66" s="12" t="inlineStr"/>
      <c r="J66" s="12" t="inlineStr"/>
    </row>
    <row r="67">
      <c r="A67" s="7" t="n">
        <v>63</v>
      </c>
      <c r="B67" s="8" t="inlineStr">
        <is>
          <t>☐</t>
        </is>
      </c>
      <c r="C67" s="16" t="inlineStr">
        <is>
          <t>5. После теста</t>
        </is>
      </c>
      <c r="D67" s="10" t="inlineStr">
        <is>
          <t>Сотрудники</t>
        </is>
      </c>
      <c r="E67" s="11" t="inlineStr">
        <is>
          <t>Перевести почты сотрудников на доменные</t>
        </is>
      </c>
      <c r="F67" s="10" t="inlineStr">
        <is>
          <t>—</t>
        </is>
      </c>
      <c r="G67" s="10" t="inlineStr">
        <is>
          <t>—</t>
        </is>
      </c>
      <c r="H67" s="10" t="inlineStr">
        <is>
          <t>после теста</t>
        </is>
      </c>
      <c r="I67" s="12" t="inlineStr"/>
      <c r="J67" s="12" t="inlineStr"/>
    </row>
  </sheetData>
  <autoFilter ref="A4:J67"/>
  <mergeCells count="1">
    <mergeCell ref="A2:J2"/>
  </mergeCells>
  <conditionalFormatting sqref="A5:J67">
    <cfRule type="expression" priority="1" dxfId="0" stopIfTrue="1">
      <formula>$B5="☑"</formula>
    </cfRule>
  </conditionalFormatting>
  <dataValidations count="1">
    <dataValidation sqref="B5:B67" showDropDown="0" showInputMessage="0" showErrorMessage="0" allowBlank="1" errorTitle="Готово" error="Выберите ☐ или ☑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4" customWidth="1" min="5" max="5"/>
  </cols>
  <sheetData>
    <row r="1">
      <c r="A1" s="17" t="inlineStr">
        <is>
          <t>Прогресс по блокам</t>
        </is>
      </c>
    </row>
    <row r="3">
      <c r="A3" s="18" t="inlineStr">
        <is>
          <t>Блок</t>
        </is>
      </c>
      <c r="B3" s="18" t="inlineStr">
        <is>
          <t>Всего</t>
        </is>
      </c>
      <c r="C3" s="18" t="inlineStr">
        <is>
          <t>Готово</t>
        </is>
      </c>
      <c r="D3" s="18" t="inlineStr">
        <is>
          <t>Осталось</t>
        </is>
      </c>
      <c r="E3" s="18" t="inlineStr">
        <is>
          <t>Прогресс</t>
        </is>
      </c>
    </row>
    <row r="4">
      <c r="A4" s="19" t="inlineStr">
        <is>
          <t>Безопасность</t>
        </is>
      </c>
      <c r="B4" s="19">
        <f>COUNTIF('Чек-лист'!$D$5:$D$67,A4)</f>
        <v/>
      </c>
      <c r="C4" s="19">
        <f>COUNTIFS('Чек-лист'!$D$5:$D$67,A4,'Чек-лист'!$B$5:$B$67,"☑")</f>
        <v/>
      </c>
      <c r="D4" s="19">
        <f>B4-C4</f>
        <v/>
      </c>
      <c r="E4" s="20">
        <f>IF(B4=0,0,C4/B4)</f>
        <v/>
      </c>
    </row>
    <row r="5">
      <c r="A5" s="19" t="inlineStr">
        <is>
          <t>DeepSeek</t>
        </is>
      </c>
      <c r="B5" s="19">
        <f>COUNTIF('Чек-лист'!$D$5:$D$67,A5)</f>
        <v/>
      </c>
      <c r="C5" s="19">
        <f>COUNTIFS('Чек-лист'!$D$5:$D$67,A5,'Чек-лист'!$B$5:$B$67,"☑")</f>
        <v/>
      </c>
      <c r="D5" s="19">
        <f>B5-C5</f>
        <v/>
      </c>
      <c r="E5" s="20">
        <f>IF(B5=0,0,C5/B5)</f>
        <v/>
      </c>
    </row>
    <row r="6">
      <c r="A6" s="19" t="inlineStr">
        <is>
          <t>TimeWeb</t>
        </is>
      </c>
      <c r="B6" s="19">
        <f>COUNTIF('Чек-лист'!$D$5:$D$67,A6)</f>
        <v/>
      </c>
      <c r="C6" s="19">
        <f>COUNTIFS('Чек-лист'!$D$5:$D$67,A6,'Чек-лист'!$B$5:$B$67,"☑")</f>
        <v/>
      </c>
      <c r="D6" s="19">
        <f>B6-C6</f>
        <v/>
      </c>
      <c r="E6" s="20">
        <f>IF(B6=0,0,C6/B6)</f>
        <v/>
      </c>
    </row>
    <row r="7">
      <c r="A7" s="19" t="inlineStr">
        <is>
          <t>Почта</t>
        </is>
      </c>
      <c r="B7" s="19">
        <f>COUNTIF('Чек-лист'!$D$5:$D$67,A7)</f>
        <v/>
      </c>
      <c r="C7" s="19">
        <f>COUNTIFS('Чек-лист'!$D$5:$D$67,A7,'Чек-лист'!$B$5:$B$67,"☑")</f>
        <v/>
      </c>
      <c r="D7" s="19">
        <f>B7-C7</f>
        <v/>
      </c>
      <c r="E7" s="20">
        <f>IF(B7=0,0,C7/B7)</f>
        <v/>
      </c>
    </row>
    <row r="8">
      <c r="A8" s="19" t="inlineStr">
        <is>
          <t>Документы</t>
        </is>
      </c>
      <c r="B8" s="19">
        <f>COUNTIF('Чек-лист'!$D$5:$D$67,A8)</f>
        <v/>
      </c>
      <c r="C8" s="19">
        <f>COUNTIFS('Чек-лист'!$D$5:$D$67,A8,'Чек-лист'!$B$5:$B$67,"☑")</f>
        <v/>
      </c>
      <c r="D8" s="19">
        <f>B8-C8</f>
        <v/>
      </c>
      <c r="E8" s="20">
        <f>IF(B8=0,0,C8/B8)</f>
        <v/>
      </c>
    </row>
    <row r="9">
      <c r="A9" s="19" t="inlineStr">
        <is>
          <t>Контент</t>
        </is>
      </c>
      <c r="B9" s="19">
        <f>COUNTIF('Чек-лист'!$D$5:$D$67,A9)</f>
        <v/>
      </c>
      <c r="C9" s="19">
        <f>COUNTIFS('Чек-лист'!$D$5:$D$67,A9,'Чек-лист'!$B$5:$B$67,"☑")</f>
        <v/>
      </c>
      <c r="D9" s="19">
        <f>B9-C9</f>
        <v/>
      </c>
      <c r="E9" s="20">
        <f>IF(B9=0,0,C9/B9)</f>
        <v/>
      </c>
    </row>
    <row r="10">
      <c r="A10" s="19" t="inlineStr">
        <is>
          <t>Kinescope</t>
        </is>
      </c>
      <c r="B10" s="19">
        <f>COUNTIF('Чек-лист'!$D$5:$D$67,A10)</f>
        <v/>
      </c>
      <c r="C10" s="19">
        <f>COUNTIFS('Чек-лист'!$D$5:$D$67,A10,'Чек-лист'!$B$5:$B$67,"☑")</f>
        <v/>
      </c>
      <c r="D10" s="19">
        <f>B10-C10</f>
        <v/>
      </c>
      <c r="E10" s="20">
        <f>IF(B10=0,0,C10/B10)</f>
        <v/>
      </c>
    </row>
    <row r="11">
      <c r="A11" s="19" t="inlineStr">
        <is>
          <t>Сотрудники</t>
        </is>
      </c>
      <c r="B11" s="19">
        <f>COUNTIF('Чек-лист'!$D$5:$D$67,A11)</f>
        <v/>
      </c>
      <c r="C11" s="19">
        <f>COUNTIFS('Чек-лист'!$D$5:$D$67,A11,'Чек-лист'!$B$5:$B$67,"☑")</f>
        <v/>
      </c>
      <c r="D11" s="19">
        <f>B11-C11</f>
        <v/>
      </c>
      <c r="E11" s="20">
        <f>IF(B11=0,0,C11/B11)</f>
        <v/>
      </c>
    </row>
    <row r="12">
      <c r="A12" s="19" t="inlineStr">
        <is>
          <t>Контентолог</t>
        </is>
      </c>
      <c r="B12" s="19">
        <f>COUNTIF('Чек-лист'!$D$5:$D$67,A12)</f>
        <v/>
      </c>
      <c r="C12" s="19">
        <f>COUNTIFS('Чек-лист'!$D$5:$D$67,A12,'Чек-лист'!$B$5:$B$67,"☑")</f>
        <v/>
      </c>
      <c r="D12" s="19">
        <f>B12-C12</f>
        <v/>
      </c>
      <c r="E12" s="20">
        <f>IF(B12=0,0,C12/B12)</f>
        <v/>
      </c>
    </row>
    <row r="13">
      <c r="A13" s="19" t="inlineStr">
        <is>
          <t>Репетиция</t>
        </is>
      </c>
      <c r="B13" s="19">
        <f>COUNTIF('Чек-лист'!$D$5:$D$67,A13)</f>
        <v/>
      </c>
      <c r="C13" s="19">
        <f>COUNTIFS('Чек-лист'!$D$5:$D$67,A13,'Чек-лист'!$B$5:$B$67,"☑")</f>
        <v/>
      </c>
      <c r="D13" s="19">
        <f>B13-C13</f>
        <v/>
      </c>
      <c r="E13" s="20">
        <f>IF(B13=0,0,C13/B13)</f>
        <v/>
      </c>
    </row>
    <row r="14">
      <c r="A14" s="19" t="inlineStr">
        <is>
          <t>Группа</t>
        </is>
      </c>
      <c r="B14" s="19">
        <f>COUNTIF('Чек-лист'!$D$5:$D$67,A14)</f>
        <v/>
      </c>
      <c r="C14" s="19">
        <f>COUNTIFS('Чек-лист'!$D$5:$D$67,A14,'Чек-лист'!$B$5:$B$67,"☑")</f>
        <v/>
      </c>
      <c r="D14" s="19">
        <f>B14-C14</f>
        <v/>
      </c>
      <c r="E14" s="20">
        <f>IF(B14=0,0,C14/B14)</f>
        <v/>
      </c>
    </row>
    <row r="15">
      <c r="A15" s="19" t="inlineStr">
        <is>
          <t>Наблюдение</t>
        </is>
      </c>
      <c r="B15" s="19">
        <f>COUNTIF('Чек-лист'!$D$5:$D$67,A15)</f>
        <v/>
      </c>
      <c r="C15" s="19">
        <f>COUNTIFS('Чек-лист'!$D$5:$D$67,A15,'Чек-лист'!$B$5:$B$67,"☑")</f>
        <v/>
      </c>
      <c r="D15" s="19">
        <f>B15-C15</f>
        <v/>
      </c>
      <c r="E15" s="20">
        <f>IF(B15=0,0,C15/B15)</f>
        <v/>
      </c>
    </row>
    <row r="16">
      <c r="A16" s="19" t="inlineStr">
        <is>
          <t>Деньги</t>
        </is>
      </c>
      <c r="B16" s="19">
        <f>COUNTIF('Чек-лист'!$D$5:$D$67,A16)</f>
        <v/>
      </c>
      <c r="C16" s="19">
        <f>COUNTIFS('Чек-лист'!$D$5:$D$67,A16,'Чек-лист'!$B$5:$B$67,"☑")</f>
        <v/>
      </c>
      <c r="D16" s="19">
        <f>B16-C16</f>
        <v/>
      </c>
      <c r="E16" s="20">
        <f>IF(B16=0,0,C16/B16)</f>
        <v/>
      </c>
    </row>
    <row r="17">
      <c r="A17" s="19" t="inlineStr">
        <is>
          <t>Бэкапы</t>
        </is>
      </c>
      <c r="B17" s="19">
        <f>COUNTIF('Чек-лист'!$D$5:$D$67,A17)</f>
        <v/>
      </c>
      <c r="C17" s="19">
        <f>COUNTIFS('Чек-лист'!$D$5:$D$67,A17,'Чек-лист'!$B$5:$B$67,"☑")</f>
        <v/>
      </c>
      <c r="D17" s="19">
        <f>B17-C17</f>
        <v/>
      </c>
      <c r="E17" s="20">
        <f>IF(B17=0,0,C17/B17)</f>
        <v/>
      </c>
    </row>
    <row r="18">
      <c r="A18" s="19" t="inlineStr">
        <is>
          <t>Итоги</t>
        </is>
      </c>
      <c r="B18" s="19">
        <f>COUNTIF('Чек-лист'!$D$5:$D$67,A18)</f>
        <v/>
      </c>
      <c r="C18" s="19">
        <f>COUNTIFS('Чек-лист'!$D$5:$D$67,A18,'Чек-лист'!$B$5:$B$67,"☑")</f>
        <v/>
      </c>
      <c r="D18" s="19">
        <f>B18-C18</f>
        <v/>
      </c>
      <c r="E18" s="20">
        <f>IF(B18=0,0,C18/B18)</f>
        <v/>
      </c>
    </row>
    <row r="19">
      <c r="A19" s="21" t="inlineStr">
        <is>
          <t>Итого</t>
        </is>
      </c>
      <c r="B19" s="21">
        <f>SUM(B4:B18)</f>
        <v/>
      </c>
      <c r="C19" s="21">
        <f>SUM(C4:C18)</f>
        <v/>
      </c>
      <c r="D19" s="21">
        <f>SUM(D4:D18)</f>
        <v/>
      </c>
      <c r="E19" s="22">
        <f>IF(B19=0,0,C19/B19)</f>
        <v/>
      </c>
    </row>
    <row r="21">
      <c r="A21" s="23" t="inlineStr">
        <is>
          <t>Считается автоматически по столбцам «Блок» и «Готово» листа «Чек-лист».</t>
        </is>
      </c>
    </row>
  </sheetData>
  <conditionalFormatting sqref="E4:E19">
    <cfRule type="dataBar" priority="1">
      <dataBar>
        <cfvo type="num" val="0"/>
        <cfvo type="num" val="1"/>
        <color rgb="004F6BE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2026-10-05T10:55:23Z</dcterms:created>
  <dcterms:modified xmlns:dcterms="http://purl.org/dc/terms/" xmlns:xsi="http://www.w3.org/2001/XMLSchema-instance" xsi:type="dcterms:W3CDTF">2026-10-05T10:55:23Z</dcterms:modified>
</cp:coreProperties>
</file>